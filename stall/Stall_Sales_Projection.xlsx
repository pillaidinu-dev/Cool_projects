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rojection" sheetId="2" state="visible" r:id="rId4"/>
    <sheet name="What-if" sheetId="3" state="visible" r:id="rId5"/>
    <sheet name="Stock plan" sheetId="4" state="visible" r:id="rId6"/>
    <sheet name="Actua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Leave at 0 if the $50 cooking items covers all your ingredients. If you'd buy more ingredients to sell more, enter the cost per plate/piece/cup here.</t>
        </r>
      </text>
    </comment>
  </commentList>
</comments>
</file>

<file path=xl/sharedStrings.xml><?xml version="1.0" encoding="utf-8"?>
<sst xmlns="http://schemas.openxmlformats.org/spreadsheetml/2006/main" count="106" uniqueCount="85">
  <si>
    <t xml:space="preserve">Snack Stall: Projection Inputs</t>
  </si>
  <si>
    <t xml:space="preserve">Blue text = numbers you can change. Yellow = guesses to replace with your own. Every other tab updates from this one.</t>
  </si>
  <si>
    <t xml:space="preserve">Item</t>
  </si>
  <si>
    <t xml:space="preserve">Size</t>
  </si>
  <si>
    <t xml:space="preserve">Price ($)</t>
  </si>
  <si>
    <t xml:space="preserve">Ingredient cost per unit ($)</t>
  </si>
  <si>
    <t xml:space="preserve">Stock prepared (units)</t>
  </si>
  <si>
    <t xml:space="preserve">Low (units / day)</t>
  </si>
  <si>
    <t xml:space="preserve">Expected (units / day)</t>
  </si>
  <si>
    <t xml:space="preserve">High (units / day)</t>
  </si>
  <si>
    <t xml:space="preserve">Notes</t>
  </si>
  <si>
    <t xml:space="preserve">Medhu Vadai</t>
  </si>
  <si>
    <t xml:space="preserve">1 plate</t>
  </si>
  <si>
    <t xml:space="preserve">Prices: from you (Idly $8 and Rose Milk $4, as updated in the tracker).</t>
  </si>
  <si>
    <t xml:space="preserve">Paneer Puff</t>
  </si>
  <si>
    <t xml:space="preserve">1 piece</t>
  </si>
  <si>
    <t xml:space="preserve">Units per day: my starting guesses for a small weekend stall. Replace with your own.</t>
  </si>
  <si>
    <t xml:space="preserve">Podi Idly</t>
  </si>
  <si>
    <t xml:space="preserve">Stock: from you (50 / 40 / 30 / 20 for the weekend).</t>
  </si>
  <si>
    <t xml:space="preserve">Rose Milk</t>
  </si>
  <si>
    <t xml:space="preserve">10 oz</t>
  </si>
  <si>
    <t xml:space="preserve">Ingredient cost: 0 because your $50 cooking items are in fixed costs. Enter a per-unit cost to model buying more for bigger days.</t>
  </si>
  <si>
    <t xml:space="preserve">Rows 9-10: spare rows for new items.</t>
  </si>
  <si>
    <t xml:space="preserve">Fixed costs</t>
  </si>
  <si>
    <t xml:space="preserve">Amount ($)</t>
  </si>
  <si>
    <t xml:space="preserve">Stall fee</t>
  </si>
  <si>
    <t xml:space="preserve">From you.</t>
  </si>
  <si>
    <t xml:space="preserve">Supplies</t>
  </si>
  <si>
    <t xml:space="preserve">Cooking items</t>
  </si>
  <si>
    <t xml:space="preserve">Other</t>
  </si>
  <si>
    <t xml:space="preserve">Ice, cups, parking, etc.</t>
  </si>
  <si>
    <t xml:space="preserve">Total fixed costs</t>
  </si>
  <si>
    <t xml:space="preserve">Event</t>
  </si>
  <si>
    <t xml:space="preserve">Days open</t>
  </si>
  <si>
    <t xml:space="preserve">Saturday and Sunday.</t>
  </si>
  <si>
    <t xml:space="preserve">Hours open per day</t>
  </si>
  <si>
    <t xml:space="preserve">Guess. Used only for items per hour.</t>
  </si>
  <si>
    <t xml:space="preserve">Weekend Sales Projection</t>
  </si>
  <si>
    <t xml:space="preserve">Units are per weekend (units per day x days open). Change the numbers on the Inputs tab.</t>
  </si>
  <si>
    <t xml:space="preserve">Low units</t>
  </si>
  <si>
    <t xml:space="preserve">Low sales ($)</t>
  </si>
  <si>
    <t xml:space="preserve">Expected units</t>
  </si>
  <si>
    <t xml:space="preserve">Expected sales ($)</t>
  </si>
  <si>
    <t xml:space="preserve">High units</t>
  </si>
  <si>
    <t xml:space="preserve">High sales ($)</t>
  </si>
  <si>
    <t xml:space="preserve">Total</t>
  </si>
  <si>
    <t xml:space="preserve">Summary</t>
  </si>
  <si>
    <t xml:space="preserve">Low</t>
  </si>
  <si>
    <t xml:space="preserve">Expected</t>
  </si>
  <si>
    <t xml:space="preserve">High</t>
  </si>
  <si>
    <t xml:space="preserve">Sales</t>
  </si>
  <si>
    <t xml:space="preserve">Ingredient cost (per-unit)</t>
  </si>
  <si>
    <t xml:space="preserve">Profit / loss</t>
  </si>
  <si>
    <t xml:space="preserve">Profit margin</t>
  </si>
  <si>
    <t xml:space="preserve">Items sold (weekend)</t>
  </si>
  <si>
    <t xml:space="preserve">Items per hour</t>
  </si>
  <si>
    <t xml:space="preserve">Average price per item</t>
  </si>
  <si>
    <t xml:space="preserve">Profit per item before fixed costs</t>
  </si>
  <si>
    <t xml:space="preserve">Items to sell to break even</t>
  </si>
  <si>
    <t xml:space="preserve">Sales needed to break even ($)</t>
  </si>
  <si>
    <t xml:space="preserve">Break-even uses each scenario's mix of items. With mostly Paneer Puffs ($4) you need more items than with mostly Vadai or Idly ($6).</t>
  </si>
  <si>
    <t xml:space="preserve">What-if: Weekend Profit</t>
  </si>
  <si>
    <t xml:space="preserve">Weekend profit for each mix of items sold per day (down) and average price per item (across). Green = profit, red = loss. Change the blue numbers to test other cases.</t>
  </si>
  <si>
    <t xml:space="preserve">Items sold per day / Avg price</t>
  </si>
  <si>
    <t xml:space="preserve">Ingredient cost per item</t>
  </si>
  <si>
    <t xml:space="preserve">From the expected mix on Projection.</t>
  </si>
  <si>
    <t xml:space="preserve">Your menu averages about $5 per item. Read down the $5.00 column to see how many items a day you need.</t>
  </si>
  <si>
    <t xml:space="preserve">Stock Plan</t>
  </si>
  <si>
    <t xml:space="preserve">Checks whether what you're making covers the projected weekend sales. Enter stock on the Inputs tab.</t>
  </si>
  <si>
    <t xml:space="preserve">Stock prepared</t>
  </si>
  <si>
    <t xml:space="preserve">Left over (expected)</t>
  </si>
  <si>
    <t xml:space="preserve">Sales if all stock sells ($)</t>
  </si>
  <si>
    <t xml:space="preserve">Status</t>
  </si>
  <si>
    <t xml:space="preserve">Left over below zero means you'd sell out before the expected number. Sales if all stock sells is the most you can earn with that stock.</t>
  </si>
  <si>
    <t xml:space="preserve">Actuals vs Projection</t>
  </si>
  <si>
    <t xml:space="preserve">After the weekend, enter units sold from the tracker's Summary export (the Sold column). Actual sales = price x units sold. Yellow cells are yours to fill.</t>
  </si>
  <si>
    <t xml:space="preserve">Actual units sold</t>
  </si>
  <si>
    <t xml:space="preserve">Difference (units)</t>
  </si>
  <si>
    <t xml:space="preserve">Actual sales ($)
= price x units</t>
  </si>
  <si>
    <t xml:space="preserve">Profit</t>
  </si>
  <si>
    <t xml:space="preserve">Actual</t>
  </si>
  <si>
    <t xml:space="preserve">Spend</t>
  </si>
  <si>
    <t xml:space="preserve">Type over this with your real total spend from the tracker if it changed.</t>
  </si>
  <si>
    <t xml:space="preserve">Actual vs expected</t>
  </si>
  <si>
    <t xml:space="preserve">Leave Actual units blank until the weekend is done. Until then, Actual shows a loss of your spend.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</si>
</sst>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#,##0;\(#,##0\);\-"/>
    <numFmt numFmtId="167" formatCode="\$#,##0;&quot;($&quot;#,##0\);\-"/>
    <numFmt numFmtId="168" formatCode="0.0%;\(0.0%\);\-"/>
    <numFmt numFmtId="169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2F6B2A"/>
      <name val="Arial"/>
      <family val="0"/>
      <charset val="1"/>
    </font>
    <font>
      <i val="true"/>
      <sz val="9"/>
      <color rgb="FF5D6B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B2A"/>
        <bgColor rgb="FF2F7D32"/>
      </patternFill>
    </fill>
    <fill>
      <patternFill patternType="solid">
        <fgColor rgb="FFFFFF00"/>
        <bgColor rgb="FFFFFF00"/>
      </patternFill>
    </fill>
    <fill>
      <patternFill patternType="solid">
        <fgColor rgb="FFE8EEE1"/>
        <bgColor rgb="FFD8EED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2F6B2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2F7D32"/>
      </font>
    </dxf>
    <dxf>
      <fill>
        <patternFill>
          <bgColor rgb="FFF8D7D3"/>
        </patternFill>
      </fill>
    </dxf>
    <dxf>
      <fill>
        <patternFill>
          <bgColor rgb="FFD8EED5"/>
        </patternFill>
      </fill>
    </dxf>
    <dxf>
      <font>
        <name val="Arial"/>
        <charset val="1"/>
        <family val="0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2A"/>
      <rgbColor rgb="FFC0C0C0"/>
      <rgbColor rgb="FF808080"/>
      <rgbColor rgb="FF9999FF"/>
      <rgbColor rgb="FF993366"/>
      <rgbColor rgb="FFE8EE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D5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D6B55"/>
      <rgbColor rgb="FF969696"/>
      <rgbColor rgb="FF003366"/>
      <rgbColor rgb="FF2F7D32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">
        <v>11</v>
      </c>
      <c r="B5" s="5" t="s">
        <v>12</v>
      </c>
      <c r="C5" s="6" t="n">
        <v>6</v>
      </c>
      <c r="D5" s="7" t="n">
        <v>0</v>
      </c>
      <c r="E5" s="8" t="n">
        <v>50</v>
      </c>
      <c r="F5" s="9" t="n">
        <v>10</v>
      </c>
      <c r="G5" s="9" t="n">
        <v>20</v>
      </c>
      <c r="H5" s="9" t="n">
        <v>35</v>
      </c>
      <c r="I5" s="2" t="s">
        <v>13</v>
      </c>
    </row>
    <row r="6" customFormat="false" ht="15" hidden="false" customHeight="false" outlineLevel="0" collapsed="false">
      <c r="A6" s="5" t="s">
        <v>14</v>
      </c>
      <c r="B6" s="5" t="s">
        <v>15</v>
      </c>
      <c r="C6" s="6" t="n">
        <v>4</v>
      </c>
      <c r="D6" s="7" t="n">
        <v>0</v>
      </c>
      <c r="E6" s="8" t="n">
        <v>40</v>
      </c>
      <c r="F6" s="9" t="n">
        <v>10</v>
      </c>
      <c r="G6" s="9" t="n">
        <v>20</v>
      </c>
      <c r="H6" s="9" t="n">
        <v>35</v>
      </c>
      <c r="I6" s="2" t="s">
        <v>16</v>
      </c>
    </row>
    <row r="7" customFormat="false" ht="15" hidden="false" customHeight="false" outlineLevel="0" collapsed="false">
      <c r="A7" s="5" t="s">
        <v>17</v>
      </c>
      <c r="B7" s="5" t="s">
        <v>12</v>
      </c>
      <c r="C7" s="6" t="n">
        <v>8</v>
      </c>
      <c r="D7" s="7" t="n">
        <v>0</v>
      </c>
      <c r="E7" s="8" t="n">
        <v>30</v>
      </c>
      <c r="F7" s="9" t="n">
        <v>8</v>
      </c>
      <c r="G7" s="9" t="n">
        <v>15</v>
      </c>
      <c r="H7" s="9" t="n">
        <v>25</v>
      </c>
      <c r="I7" s="2" t="s">
        <v>18</v>
      </c>
    </row>
    <row r="8" customFormat="false" ht="15" hidden="false" customHeight="false" outlineLevel="0" collapsed="false">
      <c r="A8" s="5" t="s">
        <v>19</v>
      </c>
      <c r="B8" s="5" t="s">
        <v>20</v>
      </c>
      <c r="C8" s="6" t="n">
        <v>4</v>
      </c>
      <c r="D8" s="7" t="n">
        <v>0</v>
      </c>
      <c r="E8" s="8" t="n">
        <v>20</v>
      </c>
      <c r="F8" s="9" t="n">
        <v>12</v>
      </c>
      <c r="G8" s="9" t="n">
        <v>25</v>
      </c>
      <c r="H8" s="9" t="n">
        <v>40</v>
      </c>
      <c r="I8" s="2" t="s">
        <v>21</v>
      </c>
    </row>
    <row r="9" customFormat="false" ht="15" hidden="false" customHeight="false" outlineLevel="0" collapsed="false">
      <c r="A9" s="5"/>
      <c r="B9" s="5"/>
      <c r="C9" s="6"/>
      <c r="D9" s="6"/>
      <c r="E9" s="8"/>
      <c r="F9" s="8"/>
      <c r="G9" s="8"/>
      <c r="H9" s="8"/>
      <c r="I9" s="2" t="s">
        <v>22</v>
      </c>
    </row>
    <row r="10" customFormat="false" ht="15" hidden="false" customHeight="false" outlineLevel="0" collapsed="false">
      <c r="A10" s="5"/>
      <c r="B10" s="5"/>
      <c r="C10" s="6"/>
      <c r="D10" s="6"/>
      <c r="E10" s="8"/>
      <c r="F10" s="8"/>
      <c r="G10" s="8"/>
      <c r="H10" s="8"/>
    </row>
    <row r="12" customFormat="false" ht="15" hidden="false" customHeight="false" outlineLevel="0" collapsed="false">
      <c r="A12" s="10" t="s">
        <v>23</v>
      </c>
      <c r="B12" s="10" t="s">
        <v>24</v>
      </c>
    </row>
    <row r="13" customFormat="false" ht="15" hidden="false" customHeight="false" outlineLevel="0" collapsed="false">
      <c r="A13" s="10" t="s">
        <v>25</v>
      </c>
      <c r="B13" s="6" t="n">
        <v>60</v>
      </c>
      <c r="C13" s="2" t="s">
        <v>26</v>
      </c>
    </row>
    <row r="14" customFormat="false" ht="15" hidden="false" customHeight="false" outlineLevel="0" collapsed="false">
      <c r="A14" s="10" t="s">
        <v>27</v>
      </c>
      <c r="B14" s="6" t="n">
        <v>50</v>
      </c>
      <c r="C14" s="2" t="s">
        <v>26</v>
      </c>
    </row>
    <row r="15" customFormat="false" ht="15" hidden="false" customHeight="false" outlineLevel="0" collapsed="false">
      <c r="A15" s="10" t="s">
        <v>28</v>
      </c>
      <c r="B15" s="6" t="n">
        <v>50</v>
      </c>
      <c r="C15" s="2" t="s">
        <v>26</v>
      </c>
    </row>
    <row r="16" customFormat="false" ht="15" hidden="false" customHeight="false" outlineLevel="0" collapsed="false">
      <c r="A16" s="10" t="s">
        <v>29</v>
      </c>
      <c r="B16" s="6" t="n">
        <v>0</v>
      </c>
      <c r="C16" s="2" t="s">
        <v>30</v>
      </c>
    </row>
    <row r="17" customFormat="false" ht="15" hidden="false" customHeight="false" outlineLevel="0" collapsed="false">
      <c r="A17" s="11" t="s">
        <v>31</v>
      </c>
      <c r="B17" s="12" t="n">
        <f aca="false">SUM(B13:B16)</f>
        <v>160</v>
      </c>
    </row>
    <row r="19" customFormat="false" ht="15" hidden="false" customHeight="false" outlineLevel="0" collapsed="false">
      <c r="A19" s="10" t="s">
        <v>32</v>
      </c>
    </row>
    <row r="20" customFormat="false" ht="15" hidden="false" customHeight="false" outlineLevel="0" collapsed="false">
      <c r="A20" s="10" t="s">
        <v>33</v>
      </c>
      <c r="B20" s="8" t="n">
        <v>2</v>
      </c>
      <c r="C20" s="2" t="s">
        <v>34</v>
      </c>
    </row>
    <row r="21" customFormat="false" ht="15" hidden="false" customHeight="false" outlineLevel="0" collapsed="false">
      <c r="A21" s="10" t="s">
        <v>35</v>
      </c>
      <c r="B21" s="9" t="n">
        <v>6</v>
      </c>
      <c r="C21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1.5" hidden="false" customHeight="true" outlineLevel="0" collapsed="false">
      <c r="A4" s="3" t="s">
        <v>2</v>
      </c>
      <c r="B4" s="4" t="s">
        <v>4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</row>
    <row r="5" customFormat="false" ht="15" hidden="false" customHeight="false" outlineLevel="0" collapsed="false">
      <c r="A5" s="13" t="str">
        <f aca="false">IF(Inputs!A5="","",Inputs!A5)</f>
        <v>Medhu Vadai</v>
      </c>
      <c r="B5" s="14" t="n">
        <f aca="false">Inputs!C5</f>
        <v>6</v>
      </c>
      <c r="C5" s="15" t="n">
        <f aca="false">Inputs!F5*Inputs!$B$20</f>
        <v>20</v>
      </c>
      <c r="D5" s="16" t="n">
        <f aca="false">C5*$B5</f>
        <v>120</v>
      </c>
      <c r="E5" s="15" t="n">
        <f aca="false">Inputs!G5*Inputs!$B$20</f>
        <v>40</v>
      </c>
      <c r="F5" s="16" t="n">
        <f aca="false">E5*$B5</f>
        <v>240</v>
      </c>
      <c r="G5" s="15" t="n">
        <f aca="false">Inputs!H5*Inputs!$B$20</f>
        <v>70</v>
      </c>
      <c r="H5" s="16" t="n">
        <f aca="false">G5*$B5</f>
        <v>420</v>
      </c>
    </row>
    <row r="6" customFormat="false" ht="15" hidden="false" customHeight="false" outlineLevel="0" collapsed="false">
      <c r="A6" s="13" t="str">
        <f aca="false">IF(Inputs!A6="","",Inputs!A6)</f>
        <v>Paneer Puff</v>
      </c>
      <c r="B6" s="14" t="n">
        <f aca="false">Inputs!C6</f>
        <v>4</v>
      </c>
      <c r="C6" s="15" t="n">
        <f aca="false">Inputs!F6*Inputs!$B$20</f>
        <v>20</v>
      </c>
      <c r="D6" s="16" t="n">
        <f aca="false">C6*$B6</f>
        <v>80</v>
      </c>
      <c r="E6" s="15" t="n">
        <f aca="false">Inputs!G6*Inputs!$B$20</f>
        <v>40</v>
      </c>
      <c r="F6" s="16" t="n">
        <f aca="false">E6*$B6</f>
        <v>160</v>
      </c>
      <c r="G6" s="15" t="n">
        <f aca="false">Inputs!H6*Inputs!$B$20</f>
        <v>70</v>
      </c>
      <c r="H6" s="16" t="n">
        <f aca="false">G6*$B6</f>
        <v>280</v>
      </c>
    </row>
    <row r="7" customFormat="false" ht="15" hidden="false" customHeight="false" outlineLevel="0" collapsed="false">
      <c r="A7" s="13" t="str">
        <f aca="false">IF(Inputs!A7="","",Inputs!A7)</f>
        <v>Podi Idly</v>
      </c>
      <c r="B7" s="14" t="n">
        <f aca="false">Inputs!C7</f>
        <v>8</v>
      </c>
      <c r="C7" s="15" t="n">
        <f aca="false">Inputs!F7*Inputs!$B$20</f>
        <v>16</v>
      </c>
      <c r="D7" s="16" t="n">
        <f aca="false">C7*$B7</f>
        <v>128</v>
      </c>
      <c r="E7" s="15" t="n">
        <f aca="false">Inputs!G7*Inputs!$B$20</f>
        <v>30</v>
      </c>
      <c r="F7" s="16" t="n">
        <f aca="false">E7*$B7</f>
        <v>240</v>
      </c>
      <c r="G7" s="15" t="n">
        <f aca="false">Inputs!H7*Inputs!$B$20</f>
        <v>50</v>
      </c>
      <c r="H7" s="16" t="n">
        <f aca="false">G7*$B7</f>
        <v>400</v>
      </c>
    </row>
    <row r="8" customFormat="false" ht="15" hidden="false" customHeight="false" outlineLevel="0" collapsed="false">
      <c r="A8" s="13" t="str">
        <f aca="false">IF(Inputs!A8="","",Inputs!A8)</f>
        <v>Rose Milk</v>
      </c>
      <c r="B8" s="14" t="n">
        <f aca="false">Inputs!C8</f>
        <v>4</v>
      </c>
      <c r="C8" s="15" t="n">
        <f aca="false">Inputs!F8*Inputs!$B$20</f>
        <v>24</v>
      </c>
      <c r="D8" s="16" t="n">
        <f aca="false">C8*$B8</f>
        <v>96</v>
      </c>
      <c r="E8" s="15" t="n">
        <f aca="false">Inputs!G8*Inputs!$B$20</f>
        <v>50</v>
      </c>
      <c r="F8" s="16" t="n">
        <f aca="false">E8*$B8</f>
        <v>200</v>
      </c>
      <c r="G8" s="15" t="n">
        <f aca="false">Inputs!H8*Inputs!$B$20</f>
        <v>80</v>
      </c>
      <c r="H8" s="16" t="n">
        <f aca="false">G8*$B8</f>
        <v>320</v>
      </c>
    </row>
    <row r="9" customFormat="false" ht="15" hidden="false" customHeight="false" outlineLevel="0" collapsed="false">
      <c r="A9" s="13" t="str">
        <f aca="false">IF(Inputs!A9="","",Inputs!A9)</f>
        <v/>
      </c>
      <c r="B9" s="14" t="n">
        <f aca="false">Inputs!C9</f>
        <v>0</v>
      </c>
      <c r="C9" s="15" t="n">
        <f aca="false">Inputs!F9*Inputs!$B$20</f>
        <v>0</v>
      </c>
      <c r="D9" s="16" t="n">
        <f aca="false">C9*$B9</f>
        <v>0</v>
      </c>
      <c r="E9" s="15" t="n">
        <f aca="false">Inputs!G9*Inputs!$B$20</f>
        <v>0</v>
      </c>
      <c r="F9" s="16" t="n">
        <f aca="false">E9*$B9</f>
        <v>0</v>
      </c>
      <c r="G9" s="15" t="n">
        <f aca="false">Inputs!H9*Inputs!$B$20</f>
        <v>0</v>
      </c>
      <c r="H9" s="16" t="n">
        <f aca="false">G9*$B9</f>
        <v>0</v>
      </c>
    </row>
    <row r="10" customFormat="false" ht="15" hidden="false" customHeight="false" outlineLevel="0" collapsed="false">
      <c r="A10" s="13" t="str">
        <f aca="false">IF(Inputs!A10="","",Inputs!A10)</f>
        <v/>
      </c>
      <c r="B10" s="14" t="n">
        <f aca="false">Inputs!C10</f>
        <v>0</v>
      </c>
      <c r="C10" s="15" t="n">
        <f aca="false">Inputs!F10*Inputs!$B$20</f>
        <v>0</v>
      </c>
      <c r="D10" s="16" t="n">
        <f aca="false">C10*$B10</f>
        <v>0</v>
      </c>
      <c r="E10" s="15" t="n">
        <f aca="false">Inputs!G10*Inputs!$B$20</f>
        <v>0</v>
      </c>
      <c r="F10" s="16" t="n">
        <f aca="false">E10*$B10</f>
        <v>0</v>
      </c>
      <c r="G10" s="15" t="n">
        <f aca="false">Inputs!H10*Inputs!$B$20</f>
        <v>0</v>
      </c>
      <c r="H10" s="16" t="n">
        <f aca="false">G10*$B10</f>
        <v>0</v>
      </c>
    </row>
    <row r="11" customFormat="false" ht="15" hidden="false" customHeight="false" outlineLevel="0" collapsed="false">
      <c r="A11" s="17" t="s">
        <v>45</v>
      </c>
      <c r="B11" s="18"/>
      <c r="C11" s="19" t="n">
        <f aca="false">SUM(C5:C10)</f>
        <v>80</v>
      </c>
      <c r="D11" s="20" t="n">
        <f aca="false">SUM(D5:D10)</f>
        <v>424</v>
      </c>
      <c r="E11" s="19" t="n">
        <f aca="false">SUM(E5:E10)</f>
        <v>160</v>
      </c>
      <c r="F11" s="20" t="n">
        <f aca="false">SUM(F5:F10)</f>
        <v>840</v>
      </c>
      <c r="G11" s="19" t="n">
        <f aca="false">SUM(G5:G10)</f>
        <v>270</v>
      </c>
      <c r="H11" s="20" t="n">
        <f aca="false">SUM(H5:H10)</f>
        <v>1420</v>
      </c>
    </row>
    <row r="13" customFormat="false" ht="31.5" hidden="false" customHeight="true" outlineLevel="0" collapsed="false">
      <c r="A13" s="3" t="s">
        <v>46</v>
      </c>
      <c r="B13" s="4" t="s">
        <v>47</v>
      </c>
      <c r="C13" s="4" t="s">
        <v>48</v>
      </c>
      <c r="D13" s="4" t="s">
        <v>49</v>
      </c>
    </row>
    <row r="14" customFormat="false" ht="15" hidden="false" customHeight="false" outlineLevel="0" collapsed="false">
      <c r="A14" s="10" t="s">
        <v>50</v>
      </c>
      <c r="B14" s="16" t="n">
        <f aca="false">D11</f>
        <v>424</v>
      </c>
      <c r="C14" s="16" t="n">
        <f aca="false">F11</f>
        <v>840</v>
      </c>
      <c r="D14" s="16" t="n">
        <f aca="false">H11</f>
        <v>1420</v>
      </c>
    </row>
    <row r="15" customFormat="false" ht="15" hidden="false" customHeight="false" outlineLevel="0" collapsed="false">
      <c r="A15" s="10" t="s">
        <v>51</v>
      </c>
      <c r="B15" s="16" t="n">
        <f aca="false">SUMPRODUCT(C5:C10,Inputs!$D$5:$D$10)</f>
        <v>0</v>
      </c>
      <c r="C15" s="16" t="n">
        <f aca="false">SUMPRODUCT(E5:E10,Inputs!$D$5:$D$10)</f>
        <v>0</v>
      </c>
      <c r="D15" s="16" t="n">
        <f aca="false">SUMPRODUCT(G5:G10,Inputs!$D$5:$D$10)</f>
        <v>0</v>
      </c>
    </row>
    <row r="16" customFormat="false" ht="15" hidden="false" customHeight="false" outlineLevel="0" collapsed="false">
      <c r="A16" s="10" t="s">
        <v>23</v>
      </c>
      <c r="B16" s="21" t="n">
        <f aca="false">Inputs!$B$17</f>
        <v>160</v>
      </c>
      <c r="C16" s="21" t="n">
        <f aca="false">Inputs!$B$17</f>
        <v>160</v>
      </c>
      <c r="D16" s="21" t="n">
        <f aca="false">Inputs!$B$17</f>
        <v>160</v>
      </c>
    </row>
    <row r="17" customFormat="false" ht="15" hidden="false" customHeight="false" outlineLevel="0" collapsed="false">
      <c r="A17" s="17" t="s">
        <v>52</v>
      </c>
      <c r="B17" s="20" t="n">
        <f aca="false">B14-B15-B16</f>
        <v>264</v>
      </c>
      <c r="C17" s="20" t="n">
        <f aca="false">C14-C15-C16</f>
        <v>680</v>
      </c>
      <c r="D17" s="20" t="n">
        <f aca="false">D14-D15-D16</f>
        <v>1260</v>
      </c>
    </row>
    <row r="18" customFormat="false" ht="15" hidden="false" customHeight="false" outlineLevel="0" collapsed="false">
      <c r="A18" s="10" t="s">
        <v>53</v>
      </c>
      <c r="B18" s="22" t="n">
        <f aca="false">IF(B14=0,0,B17/B14)</f>
        <v>0.622641509433962</v>
      </c>
      <c r="C18" s="22" t="n">
        <f aca="false">IF(C14=0,0,C17/C14)</f>
        <v>0.80952380952381</v>
      </c>
      <c r="D18" s="22" t="n">
        <f aca="false">IF(D14=0,0,D17/D14)</f>
        <v>0.887323943661972</v>
      </c>
    </row>
    <row r="19" customFormat="false" ht="15" hidden="false" customHeight="false" outlineLevel="0" collapsed="false">
      <c r="A19" s="10" t="s">
        <v>54</v>
      </c>
      <c r="B19" s="23" t="n">
        <f aca="false">C11</f>
        <v>80</v>
      </c>
      <c r="C19" s="23" t="n">
        <f aca="false">E11</f>
        <v>160</v>
      </c>
      <c r="D19" s="23" t="n">
        <f aca="false">G11</f>
        <v>270</v>
      </c>
    </row>
    <row r="20" customFormat="false" ht="15" hidden="false" customHeight="false" outlineLevel="0" collapsed="false">
      <c r="A20" s="10" t="s">
        <v>55</v>
      </c>
      <c r="B20" s="24" t="n">
        <f aca="false">IF(Inputs!$B$20*Inputs!$B$21=0,0,B19/(Inputs!$B$20*Inputs!$B$21))</f>
        <v>6.66666666666667</v>
      </c>
      <c r="C20" s="24" t="n">
        <f aca="false">IF(Inputs!$B$20*Inputs!$B$21=0,0,C19/(Inputs!$B$20*Inputs!$B$21))</f>
        <v>13.3333333333333</v>
      </c>
      <c r="D20" s="24" t="n">
        <f aca="false">IF(Inputs!$B$20*Inputs!$B$21=0,0,D19/(Inputs!$B$20*Inputs!$B$21))</f>
        <v>22.5</v>
      </c>
    </row>
    <row r="21" customFormat="false" ht="15" hidden="false" customHeight="false" outlineLevel="0" collapsed="false">
      <c r="A21" s="10" t="s">
        <v>56</v>
      </c>
      <c r="B21" s="25" t="n">
        <f aca="false">IF(B19=0,0,B14/B19)</f>
        <v>5.3</v>
      </c>
      <c r="C21" s="25" t="n">
        <f aca="false">IF(C19=0,0,C14/C19)</f>
        <v>5.25</v>
      </c>
      <c r="D21" s="25" t="n">
        <f aca="false">IF(D19=0,0,D14/D19)</f>
        <v>5.25925925925926</v>
      </c>
    </row>
    <row r="22" customFormat="false" ht="15" hidden="false" customHeight="false" outlineLevel="0" collapsed="false">
      <c r="A22" s="10" t="s">
        <v>57</v>
      </c>
      <c r="B22" s="25" t="n">
        <f aca="false">IF(B19=0,0,(B14-B15)/B19)</f>
        <v>5.3</v>
      </c>
      <c r="C22" s="25" t="n">
        <f aca="false">IF(C19=0,0,(C14-C15)/C19)</f>
        <v>5.25</v>
      </c>
      <c r="D22" s="25" t="n">
        <f aca="false">IF(D19=0,0,(D14-D15)/D19)</f>
        <v>5.25925925925926</v>
      </c>
    </row>
    <row r="23" customFormat="false" ht="15" hidden="false" customHeight="false" outlineLevel="0" collapsed="false">
      <c r="A23" s="10" t="s">
        <v>58</v>
      </c>
      <c r="B23" s="23" t="n">
        <f aca="false">IF(B22&lt;=0,0,ROUNDUP(Inputs!$B$17/B22,0))</f>
        <v>31</v>
      </c>
      <c r="C23" s="23" t="n">
        <f aca="false">IF(C22&lt;=0,0,ROUNDUP(Inputs!$B$17/C22,0))</f>
        <v>31</v>
      </c>
      <c r="D23" s="23" t="n">
        <f aca="false">IF(D22&lt;=0,0,ROUNDUP(Inputs!$B$17/D22,0))</f>
        <v>31</v>
      </c>
    </row>
    <row r="24" customFormat="false" ht="15" hidden="false" customHeight="false" outlineLevel="0" collapsed="false">
      <c r="A24" s="10" t="s">
        <v>59</v>
      </c>
      <c r="B24" s="16" t="n">
        <f aca="false">B23*B21</f>
        <v>164.3</v>
      </c>
      <c r="C24" s="16" t="n">
        <f aca="false">C23*C21</f>
        <v>162.75</v>
      </c>
      <c r="D24" s="16" t="n">
        <f aca="false">D23*D21</f>
        <v>163.037037037037</v>
      </c>
    </row>
    <row r="26" customFormat="false" ht="15" hidden="false" customHeight="false" outlineLevel="0" collapsed="false">
      <c r="A26" s="2" t="s">
        <v>60</v>
      </c>
    </row>
  </sheetData>
  <conditionalFormatting sqref="B17:D1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10" t="s">
        <v>63</v>
      </c>
      <c r="B4" s="26" t="n">
        <v>4</v>
      </c>
      <c r="C4" s="26" t="n">
        <v>4.5</v>
      </c>
      <c r="D4" s="26" t="n">
        <v>5</v>
      </c>
      <c r="E4" s="26" t="n">
        <v>5.5</v>
      </c>
      <c r="F4" s="26" t="n">
        <v>6</v>
      </c>
    </row>
    <row r="5" customFormat="false" ht="15" hidden="false" customHeight="false" outlineLevel="0" collapsed="false">
      <c r="A5" s="27" t="n">
        <v>10</v>
      </c>
      <c r="B5" s="16" t="n">
        <f aca="false">$A5*$B$18*(B$4-$B$16)-$B$17</f>
        <v>-80</v>
      </c>
      <c r="C5" s="16" t="n">
        <f aca="false">$A5*$B$18*(C$4-$B$16)-$B$17</f>
        <v>-70</v>
      </c>
      <c r="D5" s="16" t="n">
        <f aca="false">$A5*$B$18*(D$4-$B$16)-$B$17</f>
        <v>-60</v>
      </c>
      <c r="E5" s="16" t="n">
        <f aca="false">$A5*$B$18*(E$4-$B$16)-$B$17</f>
        <v>-50</v>
      </c>
      <c r="F5" s="16" t="n">
        <f aca="false">$A5*$B$18*(F$4-$B$16)-$B$17</f>
        <v>-40</v>
      </c>
    </row>
    <row r="6" customFormat="false" ht="15" hidden="false" customHeight="false" outlineLevel="0" collapsed="false">
      <c r="A6" s="27" t="n">
        <v>20</v>
      </c>
      <c r="B6" s="16" t="n">
        <f aca="false">$A6*$B$18*(B$4-$B$16)-$B$17</f>
        <v>0</v>
      </c>
      <c r="C6" s="16" t="n">
        <f aca="false">$A6*$B$18*(C$4-$B$16)-$B$17</f>
        <v>20</v>
      </c>
      <c r="D6" s="16" t="n">
        <f aca="false">$A6*$B$18*(D$4-$B$16)-$B$17</f>
        <v>40</v>
      </c>
      <c r="E6" s="16" t="n">
        <f aca="false">$A6*$B$18*(E$4-$B$16)-$B$17</f>
        <v>60</v>
      </c>
      <c r="F6" s="16" t="n">
        <f aca="false">$A6*$B$18*(F$4-$B$16)-$B$17</f>
        <v>80</v>
      </c>
    </row>
    <row r="7" customFormat="false" ht="15" hidden="false" customHeight="false" outlineLevel="0" collapsed="false">
      <c r="A7" s="27" t="n">
        <v>30</v>
      </c>
      <c r="B7" s="16" t="n">
        <f aca="false">$A7*$B$18*(B$4-$B$16)-$B$17</f>
        <v>80</v>
      </c>
      <c r="C7" s="16" t="n">
        <f aca="false">$A7*$B$18*(C$4-$B$16)-$B$17</f>
        <v>110</v>
      </c>
      <c r="D7" s="16" t="n">
        <f aca="false">$A7*$B$18*(D$4-$B$16)-$B$17</f>
        <v>140</v>
      </c>
      <c r="E7" s="16" t="n">
        <f aca="false">$A7*$B$18*(E$4-$B$16)-$B$17</f>
        <v>170</v>
      </c>
      <c r="F7" s="16" t="n">
        <f aca="false">$A7*$B$18*(F$4-$B$16)-$B$17</f>
        <v>200</v>
      </c>
    </row>
    <row r="8" customFormat="false" ht="15" hidden="false" customHeight="false" outlineLevel="0" collapsed="false">
      <c r="A8" s="27" t="n">
        <v>40</v>
      </c>
      <c r="B8" s="16" t="n">
        <f aca="false">$A8*$B$18*(B$4-$B$16)-$B$17</f>
        <v>160</v>
      </c>
      <c r="C8" s="16" t="n">
        <f aca="false">$A8*$B$18*(C$4-$B$16)-$B$17</f>
        <v>200</v>
      </c>
      <c r="D8" s="16" t="n">
        <f aca="false">$A8*$B$18*(D$4-$B$16)-$B$17</f>
        <v>240</v>
      </c>
      <c r="E8" s="16" t="n">
        <f aca="false">$A8*$B$18*(E$4-$B$16)-$B$17</f>
        <v>280</v>
      </c>
      <c r="F8" s="16" t="n">
        <f aca="false">$A8*$B$18*(F$4-$B$16)-$B$17</f>
        <v>320</v>
      </c>
    </row>
    <row r="9" customFormat="false" ht="15" hidden="false" customHeight="false" outlineLevel="0" collapsed="false">
      <c r="A9" s="27" t="n">
        <v>50</v>
      </c>
      <c r="B9" s="16" t="n">
        <f aca="false">$A9*$B$18*(B$4-$B$16)-$B$17</f>
        <v>240</v>
      </c>
      <c r="C9" s="16" t="n">
        <f aca="false">$A9*$B$18*(C$4-$B$16)-$B$17</f>
        <v>290</v>
      </c>
      <c r="D9" s="16" t="n">
        <f aca="false">$A9*$B$18*(D$4-$B$16)-$B$17</f>
        <v>340</v>
      </c>
      <c r="E9" s="16" t="n">
        <f aca="false">$A9*$B$18*(E$4-$B$16)-$B$17</f>
        <v>390</v>
      </c>
      <c r="F9" s="16" t="n">
        <f aca="false">$A9*$B$18*(F$4-$B$16)-$B$17</f>
        <v>440</v>
      </c>
    </row>
    <row r="10" customFormat="false" ht="15" hidden="false" customHeight="false" outlineLevel="0" collapsed="false">
      <c r="A10" s="27" t="n">
        <v>60</v>
      </c>
      <c r="B10" s="16" t="n">
        <f aca="false">$A10*$B$18*(B$4-$B$16)-$B$17</f>
        <v>320</v>
      </c>
      <c r="C10" s="16" t="n">
        <f aca="false">$A10*$B$18*(C$4-$B$16)-$B$17</f>
        <v>380</v>
      </c>
      <c r="D10" s="16" t="n">
        <f aca="false">$A10*$B$18*(D$4-$B$16)-$B$17</f>
        <v>440</v>
      </c>
      <c r="E10" s="16" t="n">
        <f aca="false">$A10*$B$18*(E$4-$B$16)-$B$17</f>
        <v>500</v>
      </c>
      <c r="F10" s="16" t="n">
        <f aca="false">$A10*$B$18*(F$4-$B$16)-$B$17</f>
        <v>560</v>
      </c>
    </row>
    <row r="11" customFormat="false" ht="15" hidden="false" customHeight="false" outlineLevel="0" collapsed="false">
      <c r="A11" s="27" t="n">
        <v>70</v>
      </c>
      <c r="B11" s="16" t="n">
        <f aca="false">$A11*$B$18*(B$4-$B$16)-$B$17</f>
        <v>400</v>
      </c>
      <c r="C11" s="16" t="n">
        <f aca="false">$A11*$B$18*(C$4-$B$16)-$B$17</f>
        <v>470</v>
      </c>
      <c r="D11" s="16" t="n">
        <f aca="false">$A11*$B$18*(D$4-$B$16)-$B$17</f>
        <v>540</v>
      </c>
      <c r="E11" s="16" t="n">
        <f aca="false">$A11*$B$18*(E$4-$B$16)-$B$17</f>
        <v>610</v>
      </c>
      <c r="F11" s="16" t="n">
        <f aca="false">$A11*$B$18*(F$4-$B$16)-$B$17</f>
        <v>680</v>
      </c>
    </row>
    <row r="12" customFormat="false" ht="15" hidden="false" customHeight="false" outlineLevel="0" collapsed="false">
      <c r="A12" s="27" t="n">
        <v>80</v>
      </c>
      <c r="B12" s="16" t="n">
        <f aca="false">$A12*$B$18*(B$4-$B$16)-$B$17</f>
        <v>480</v>
      </c>
      <c r="C12" s="16" t="n">
        <f aca="false">$A12*$B$18*(C$4-$B$16)-$B$17</f>
        <v>560</v>
      </c>
      <c r="D12" s="16" t="n">
        <f aca="false">$A12*$B$18*(D$4-$B$16)-$B$17</f>
        <v>640</v>
      </c>
      <c r="E12" s="16" t="n">
        <f aca="false">$A12*$B$18*(E$4-$B$16)-$B$17</f>
        <v>720</v>
      </c>
      <c r="F12" s="16" t="n">
        <f aca="false">$A12*$B$18*(F$4-$B$16)-$B$17</f>
        <v>800</v>
      </c>
    </row>
    <row r="13" customFormat="false" ht="15" hidden="false" customHeight="false" outlineLevel="0" collapsed="false">
      <c r="A13" s="27" t="n">
        <v>90</v>
      </c>
      <c r="B13" s="16" t="n">
        <f aca="false">$A13*$B$18*(B$4-$B$16)-$B$17</f>
        <v>560</v>
      </c>
      <c r="C13" s="16" t="n">
        <f aca="false">$A13*$B$18*(C$4-$B$16)-$B$17</f>
        <v>650</v>
      </c>
      <c r="D13" s="16" t="n">
        <f aca="false">$A13*$B$18*(D$4-$B$16)-$B$17</f>
        <v>740</v>
      </c>
      <c r="E13" s="16" t="n">
        <f aca="false">$A13*$B$18*(E$4-$B$16)-$B$17</f>
        <v>830</v>
      </c>
      <c r="F13" s="16" t="n">
        <f aca="false">$A13*$B$18*(F$4-$B$16)-$B$17</f>
        <v>920</v>
      </c>
    </row>
    <row r="14" customFormat="false" ht="15" hidden="false" customHeight="false" outlineLevel="0" collapsed="false">
      <c r="A14" s="27" t="n">
        <v>100</v>
      </c>
      <c r="B14" s="16" t="n">
        <f aca="false">$A14*$B$18*(B$4-$B$16)-$B$17</f>
        <v>640</v>
      </c>
      <c r="C14" s="16" t="n">
        <f aca="false">$A14*$B$18*(C$4-$B$16)-$B$17</f>
        <v>740</v>
      </c>
      <c r="D14" s="16" t="n">
        <f aca="false">$A14*$B$18*(D$4-$B$16)-$B$17</f>
        <v>840</v>
      </c>
      <c r="E14" s="16" t="n">
        <f aca="false">$A14*$B$18*(E$4-$B$16)-$B$17</f>
        <v>940</v>
      </c>
      <c r="F14" s="16" t="n">
        <f aca="false">$A14*$B$18*(F$4-$B$16)-$B$17</f>
        <v>1040</v>
      </c>
    </row>
    <row r="16" customFormat="false" ht="15" hidden="false" customHeight="false" outlineLevel="0" collapsed="false">
      <c r="A16" s="10" t="s">
        <v>64</v>
      </c>
      <c r="B16" s="14" t="n">
        <f aca="false">IF(Projection!C19=0,0,Projection!C15/Projection!C19)</f>
        <v>0</v>
      </c>
      <c r="C16" s="2" t="s">
        <v>65</v>
      </c>
    </row>
    <row r="17" customFormat="false" ht="15" hidden="false" customHeight="false" outlineLevel="0" collapsed="false">
      <c r="A17" s="10" t="s">
        <v>23</v>
      </c>
      <c r="B17" s="21" t="n">
        <f aca="false">Inputs!B17</f>
        <v>160</v>
      </c>
    </row>
    <row r="18" customFormat="false" ht="15" hidden="false" customHeight="false" outlineLevel="0" collapsed="false">
      <c r="A18" s="10" t="s">
        <v>33</v>
      </c>
      <c r="B18" s="15" t="n">
        <f aca="false">Inputs!B20</f>
        <v>2</v>
      </c>
    </row>
    <row r="20" customFormat="false" ht="15" hidden="false" customHeight="false" outlineLevel="0" collapsed="false">
      <c r="A20" s="2" t="s">
        <v>66</v>
      </c>
    </row>
  </sheetData>
  <conditionalFormatting sqref="B5:F14">
    <cfRule type="cellIs" priority="2" operator="lessThan" aboveAverage="0" equalAverage="0" bottom="0" percent="0" rank="0" text="" dxfId="2">
      <formula>0</formula>
    </cfRule>
    <cfRule type="cellIs" priority="3" operator="greaterThanOr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31.5" hidden="false" customHeight="true" outlineLevel="0" collapsed="false">
      <c r="A4" s="3" t="s">
        <v>2</v>
      </c>
      <c r="B4" s="4" t="s">
        <v>69</v>
      </c>
      <c r="C4" s="4" t="s">
        <v>41</v>
      </c>
      <c r="D4" s="4" t="s">
        <v>43</v>
      </c>
      <c r="E4" s="4" t="s">
        <v>70</v>
      </c>
      <c r="F4" s="4" t="s">
        <v>71</v>
      </c>
      <c r="G4" s="4" t="s">
        <v>72</v>
      </c>
    </row>
    <row r="5" customFormat="false" ht="15" hidden="false" customHeight="false" outlineLevel="0" collapsed="false">
      <c r="A5" s="13" t="str">
        <f aca="false">IF(Inputs!A5="","",Inputs!A5)</f>
        <v>Medhu Vadai</v>
      </c>
      <c r="B5" s="15" t="n">
        <f aca="false">Inputs!E5</f>
        <v>50</v>
      </c>
      <c r="C5" s="15" t="n">
        <f aca="false">Projection!E5</f>
        <v>40</v>
      </c>
      <c r="D5" s="15" t="n">
        <f aca="false">Projection!G5</f>
        <v>70</v>
      </c>
      <c r="E5" s="23" t="n">
        <f aca="false">IF(OR(A5="",Inputs!E5=""),0,B5-C5)</f>
        <v>10</v>
      </c>
      <c r="F5" s="16" t="n">
        <f aca="false">B5*Inputs!C5</f>
        <v>300</v>
      </c>
      <c r="G5" s="10" t="str">
        <f aca="false">IF(A5="","",IF(Inputs!E5="","Enter stock on Inputs",IF(B5&gt;=D5,"Enough even for a busy weekend",IF(B5&gt;=C5,"Enough for expected","Short by "&amp;(C5-B5)&amp;" for expected"))))</f>
        <v>Enough for expected</v>
      </c>
    </row>
    <row r="6" customFormat="false" ht="15" hidden="false" customHeight="false" outlineLevel="0" collapsed="false">
      <c r="A6" s="13" t="str">
        <f aca="false">IF(Inputs!A6="","",Inputs!A6)</f>
        <v>Paneer Puff</v>
      </c>
      <c r="B6" s="15" t="n">
        <f aca="false">Inputs!E6</f>
        <v>40</v>
      </c>
      <c r="C6" s="15" t="n">
        <f aca="false">Projection!E6</f>
        <v>40</v>
      </c>
      <c r="D6" s="15" t="n">
        <f aca="false">Projection!G6</f>
        <v>70</v>
      </c>
      <c r="E6" s="23" t="n">
        <f aca="false">IF(OR(A6="",Inputs!E6=""),0,B6-C6)</f>
        <v>0</v>
      </c>
      <c r="F6" s="16" t="n">
        <f aca="false">B6*Inputs!C6</f>
        <v>160</v>
      </c>
      <c r="G6" s="10" t="str">
        <f aca="false">IF(A6="","",IF(Inputs!E6="","Enter stock on Inputs",IF(B6&gt;=D6,"Enough even for a busy weekend",IF(B6&gt;=C6,"Enough for expected","Short by "&amp;(C6-B6)&amp;" for expected"))))</f>
        <v>Enough for expected</v>
      </c>
    </row>
    <row r="7" customFormat="false" ht="15" hidden="false" customHeight="false" outlineLevel="0" collapsed="false">
      <c r="A7" s="13" t="str">
        <f aca="false">IF(Inputs!A7="","",Inputs!A7)</f>
        <v>Podi Idly</v>
      </c>
      <c r="B7" s="15" t="n">
        <f aca="false">Inputs!E7</f>
        <v>30</v>
      </c>
      <c r="C7" s="15" t="n">
        <f aca="false">Projection!E7</f>
        <v>30</v>
      </c>
      <c r="D7" s="15" t="n">
        <f aca="false">Projection!G7</f>
        <v>50</v>
      </c>
      <c r="E7" s="23" t="n">
        <f aca="false">IF(OR(A7="",Inputs!E7=""),0,B7-C7)</f>
        <v>0</v>
      </c>
      <c r="F7" s="16" t="n">
        <f aca="false">B7*Inputs!C7</f>
        <v>240</v>
      </c>
      <c r="G7" s="10" t="str">
        <f aca="false">IF(A7="","",IF(Inputs!E7="","Enter stock on Inputs",IF(B7&gt;=D7,"Enough even for a busy weekend",IF(B7&gt;=C7,"Enough for expected","Short by "&amp;(C7-B7)&amp;" for expected"))))</f>
        <v>Enough for expected</v>
      </c>
    </row>
    <row r="8" customFormat="false" ht="15" hidden="false" customHeight="false" outlineLevel="0" collapsed="false">
      <c r="A8" s="13" t="str">
        <f aca="false">IF(Inputs!A8="","",Inputs!A8)</f>
        <v>Rose Milk</v>
      </c>
      <c r="B8" s="15" t="n">
        <f aca="false">Inputs!E8</f>
        <v>20</v>
      </c>
      <c r="C8" s="15" t="n">
        <f aca="false">Projection!E8</f>
        <v>50</v>
      </c>
      <c r="D8" s="15" t="n">
        <f aca="false">Projection!G8</f>
        <v>80</v>
      </c>
      <c r="E8" s="23" t="n">
        <f aca="false">IF(OR(A8="",Inputs!E8=""),0,B8-C8)</f>
        <v>-30</v>
      </c>
      <c r="F8" s="16" t="n">
        <f aca="false">B8*Inputs!C8</f>
        <v>80</v>
      </c>
      <c r="G8" s="10" t="str">
        <f aca="false">IF(A8="","",IF(Inputs!E8="","Enter stock on Inputs",IF(B8&gt;=D8,"Enough even for a busy weekend",IF(B8&gt;=C8,"Enough for expected","Short by "&amp;(C8-B8)&amp;" for expected"))))</f>
        <v>Short by 30 for expected</v>
      </c>
    </row>
    <row r="9" customFormat="false" ht="15" hidden="false" customHeight="false" outlineLevel="0" collapsed="false">
      <c r="A9" s="13" t="str">
        <f aca="false">IF(Inputs!A9="","",Inputs!A9)</f>
        <v/>
      </c>
      <c r="B9" s="15" t="n">
        <f aca="false">Inputs!E9</f>
        <v>0</v>
      </c>
      <c r="C9" s="15" t="n">
        <f aca="false">Projection!E9</f>
        <v>0</v>
      </c>
      <c r="D9" s="15" t="n">
        <f aca="false">Projection!G9</f>
        <v>0</v>
      </c>
      <c r="E9" s="23" t="n">
        <f aca="false">IF(OR(A9="",Inputs!E9=""),0,B9-C9)</f>
        <v>0</v>
      </c>
      <c r="F9" s="16" t="n">
        <f aca="false">B9*Inputs!C9</f>
        <v>0</v>
      </c>
      <c r="G9" s="10" t="str">
        <f aca="false">IF(A9="","",IF(Inputs!E9="","Enter stock on Inputs",IF(B9&gt;=D9,"Enough even for a busy weekend",IF(B9&gt;=C9,"Enough for expected","Short by "&amp;(C9-B9)&amp;" for expected"))))</f>
        <v/>
      </c>
    </row>
    <row r="10" customFormat="false" ht="15" hidden="false" customHeight="false" outlineLevel="0" collapsed="false">
      <c r="A10" s="13" t="str">
        <f aca="false">IF(Inputs!A10="","",Inputs!A10)</f>
        <v/>
      </c>
      <c r="B10" s="15" t="n">
        <f aca="false">Inputs!E10</f>
        <v>0</v>
      </c>
      <c r="C10" s="15" t="n">
        <f aca="false">Projection!E10</f>
        <v>0</v>
      </c>
      <c r="D10" s="15" t="n">
        <f aca="false">Projection!G10</f>
        <v>0</v>
      </c>
      <c r="E10" s="23" t="n">
        <f aca="false">IF(OR(A10="",Inputs!E10=""),0,B10-C10)</f>
        <v>0</v>
      </c>
      <c r="F10" s="16" t="n">
        <f aca="false">B10*Inputs!C10</f>
        <v>0</v>
      </c>
      <c r="G10" s="10" t="str">
        <f aca="false">IF(A10="","",IF(Inputs!E10="","Enter stock on Inputs",IF(B10&gt;=D10,"Enough even for a busy weekend",IF(B10&gt;=C10,"Enough for expected","Short by "&amp;(C10-B10)&amp;" for expected"))))</f>
        <v/>
      </c>
    </row>
    <row r="11" customFormat="false" ht="15" hidden="false" customHeight="false" outlineLevel="0" collapsed="false">
      <c r="A11" s="17" t="s">
        <v>45</v>
      </c>
      <c r="B11" s="19" t="n">
        <f aca="false">SUM(B5:B10)</f>
        <v>140</v>
      </c>
      <c r="C11" s="19" t="n">
        <f aca="false">SUM(C5:C10)</f>
        <v>160</v>
      </c>
      <c r="D11" s="19" t="n">
        <f aca="false">SUM(D5:D10)</f>
        <v>270</v>
      </c>
      <c r="E11" s="19" t="n">
        <f aca="false">SUM(E5:E10)</f>
        <v>-20</v>
      </c>
      <c r="F11" s="20" t="n">
        <f aca="false">SUM(F5:F10)</f>
        <v>780</v>
      </c>
      <c r="G11" s="18"/>
    </row>
    <row r="13" customFormat="false" ht="15" hidden="false" customHeight="false" outlineLevel="0" collapsed="false">
      <c r="A13" s="2" t="s">
        <v>73</v>
      </c>
    </row>
  </sheetData>
  <conditionalFormatting sqref="E5:E1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31.5" hidden="false" customHeight="true" outlineLevel="0" collapsed="false">
      <c r="A4" s="3" t="s">
        <v>2</v>
      </c>
      <c r="B4" s="4" t="s">
        <v>4</v>
      </c>
      <c r="C4" s="4" t="s">
        <v>41</v>
      </c>
      <c r="D4" s="4" t="s">
        <v>76</v>
      </c>
      <c r="E4" s="4" t="s">
        <v>77</v>
      </c>
      <c r="F4" s="4" t="s">
        <v>42</v>
      </c>
      <c r="G4" s="4" t="s">
        <v>78</v>
      </c>
    </row>
    <row r="5" customFormat="false" ht="15" hidden="false" customHeight="false" outlineLevel="0" collapsed="false">
      <c r="A5" s="13" t="str">
        <f aca="false">IF(Inputs!A5="","",Inputs!A5)</f>
        <v>Medhu Vadai</v>
      </c>
      <c r="B5" s="14" t="n">
        <f aca="false">Inputs!C5</f>
        <v>6</v>
      </c>
      <c r="C5" s="15" t="n">
        <f aca="false">Projection!E5</f>
        <v>40</v>
      </c>
      <c r="D5" s="9"/>
      <c r="E5" s="23" t="n">
        <f aca="false">IF(D5="",0,D5-C5)</f>
        <v>0</v>
      </c>
      <c r="F5" s="16" t="n">
        <f aca="false">B5*C5</f>
        <v>240</v>
      </c>
      <c r="G5" s="16" t="n">
        <f aca="false">B5*D5</f>
        <v>0</v>
      </c>
    </row>
    <row r="6" customFormat="false" ht="15" hidden="false" customHeight="false" outlineLevel="0" collapsed="false">
      <c r="A6" s="13" t="str">
        <f aca="false">IF(Inputs!A6="","",Inputs!A6)</f>
        <v>Paneer Puff</v>
      </c>
      <c r="B6" s="14" t="n">
        <f aca="false">Inputs!C6</f>
        <v>4</v>
      </c>
      <c r="C6" s="15" t="n">
        <f aca="false">Projection!E6</f>
        <v>40</v>
      </c>
      <c r="D6" s="9"/>
      <c r="E6" s="23" t="n">
        <f aca="false">IF(D6="",0,D6-C6)</f>
        <v>0</v>
      </c>
      <c r="F6" s="16" t="n">
        <f aca="false">B6*C6</f>
        <v>160</v>
      </c>
      <c r="G6" s="16" t="n">
        <f aca="false">B6*D6</f>
        <v>0</v>
      </c>
    </row>
    <row r="7" customFormat="false" ht="15" hidden="false" customHeight="false" outlineLevel="0" collapsed="false">
      <c r="A7" s="13" t="str">
        <f aca="false">IF(Inputs!A7="","",Inputs!A7)</f>
        <v>Podi Idly</v>
      </c>
      <c r="B7" s="14" t="n">
        <f aca="false">Inputs!C7</f>
        <v>8</v>
      </c>
      <c r="C7" s="15" t="n">
        <f aca="false">Projection!E7</f>
        <v>30</v>
      </c>
      <c r="D7" s="9"/>
      <c r="E7" s="23" t="n">
        <f aca="false">IF(D7="",0,D7-C7)</f>
        <v>0</v>
      </c>
      <c r="F7" s="16" t="n">
        <f aca="false">B7*C7</f>
        <v>240</v>
      </c>
      <c r="G7" s="16" t="n">
        <f aca="false">B7*D7</f>
        <v>0</v>
      </c>
    </row>
    <row r="8" customFormat="false" ht="15" hidden="false" customHeight="false" outlineLevel="0" collapsed="false">
      <c r="A8" s="13" t="str">
        <f aca="false">IF(Inputs!A8="","",Inputs!A8)</f>
        <v>Rose Milk</v>
      </c>
      <c r="B8" s="14" t="n">
        <f aca="false">Inputs!C8</f>
        <v>4</v>
      </c>
      <c r="C8" s="15" t="n">
        <f aca="false">Projection!E8</f>
        <v>50</v>
      </c>
      <c r="D8" s="9"/>
      <c r="E8" s="23" t="n">
        <f aca="false">IF(D8="",0,D8-C8)</f>
        <v>0</v>
      </c>
      <c r="F8" s="16" t="n">
        <f aca="false">B8*C8</f>
        <v>200</v>
      </c>
      <c r="G8" s="16" t="n">
        <f aca="false">B8*D8</f>
        <v>0</v>
      </c>
    </row>
    <row r="9" customFormat="false" ht="15" hidden="false" customHeight="false" outlineLevel="0" collapsed="false">
      <c r="A9" s="13" t="str">
        <f aca="false">IF(Inputs!A9="","",Inputs!A9)</f>
        <v/>
      </c>
      <c r="B9" s="14" t="n">
        <f aca="false">Inputs!C9</f>
        <v>0</v>
      </c>
      <c r="C9" s="15" t="n">
        <f aca="false">Projection!E9</f>
        <v>0</v>
      </c>
      <c r="D9" s="8"/>
      <c r="E9" s="23" t="n">
        <f aca="false">IF(D9="",0,D9-C9)</f>
        <v>0</v>
      </c>
      <c r="F9" s="16" t="n">
        <f aca="false">B9*C9</f>
        <v>0</v>
      </c>
      <c r="G9" s="16" t="n">
        <f aca="false">B9*D9</f>
        <v>0</v>
      </c>
    </row>
    <row r="10" customFormat="false" ht="15" hidden="false" customHeight="false" outlineLevel="0" collapsed="false">
      <c r="A10" s="13" t="str">
        <f aca="false">IF(Inputs!A10="","",Inputs!A10)</f>
        <v/>
      </c>
      <c r="B10" s="14" t="n">
        <f aca="false">Inputs!C10</f>
        <v>0</v>
      </c>
      <c r="C10" s="15" t="n">
        <f aca="false">Projection!E10</f>
        <v>0</v>
      </c>
      <c r="D10" s="8"/>
      <c r="E10" s="23" t="n">
        <f aca="false">IF(D10="",0,D10-C10)</f>
        <v>0</v>
      </c>
      <c r="F10" s="16" t="n">
        <f aca="false">B10*C10</f>
        <v>0</v>
      </c>
      <c r="G10" s="16" t="n">
        <f aca="false">B10*D10</f>
        <v>0</v>
      </c>
    </row>
    <row r="11" customFormat="false" ht="15" hidden="false" customHeight="false" outlineLevel="0" collapsed="false">
      <c r="A11" s="17" t="s">
        <v>45</v>
      </c>
      <c r="B11" s="18"/>
      <c r="C11" s="19" t="n">
        <f aca="false">SUM(C5:C10)</f>
        <v>160</v>
      </c>
      <c r="D11" s="19" t="n">
        <f aca="false">SUM(D5:D10)</f>
        <v>0</v>
      </c>
      <c r="E11" s="19" t="n">
        <f aca="false">SUM(E5:E10)</f>
        <v>0</v>
      </c>
      <c r="F11" s="20" t="n">
        <f aca="false">SUM(F5:F10)</f>
        <v>840</v>
      </c>
      <c r="G11" s="20" t="n">
        <f aca="false">SUM(G5:G10)</f>
        <v>0</v>
      </c>
    </row>
    <row r="13" customFormat="false" ht="31.5" hidden="false" customHeight="true" outlineLevel="0" collapsed="false">
      <c r="A13" s="3" t="s">
        <v>79</v>
      </c>
      <c r="B13" s="4" t="s">
        <v>48</v>
      </c>
      <c r="C13" s="4" t="s">
        <v>80</v>
      </c>
    </row>
    <row r="14" customFormat="false" ht="15" hidden="false" customHeight="false" outlineLevel="0" collapsed="false">
      <c r="A14" s="10" t="s">
        <v>50</v>
      </c>
      <c r="B14" s="16" t="n">
        <f aca="false">F11</f>
        <v>840</v>
      </c>
      <c r="C14" s="16" t="n">
        <f aca="false">G11</f>
        <v>0</v>
      </c>
    </row>
    <row r="15" customFormat="false" ht="15" hidden="false" customHeight="false" outlineLevel="0" collapsed="false">
      <c r="A15" s="10" t="s">
        <v>51</v>
      </c>
      <c r="B15" s="21" t="n">
        <f aca="false">Projection!C15</f>
        <v>0</v>
      </c>
      <c r="C15" s="16" t="n">
        <f aca="false">SUMPRODUCT(D5:D10,Inputs!$D$5:$D$10)</f>
        <v>0</v>
      </c>
    </row>
    <row r="16" customFormat="false" ht="15" hidden="false" customHeight="false" outlineLevel="0" collapsed="false">
      <c r="A16" s="10" t="s">
        <v>81</v>
      </c>
      <c r="B16" s="21" t="n">
        <f aca="false">Inputs!B17</f>
        <v>160</v>
      </c>
      <c r="C16" s="28" t="n">
        <f aca="false">Inputs!B17</f>
        <v>160</v>
      </c>
      <c r="D16" s="2" t="s">
        <v>82</v>
      </c>
    </row>
    <row r="17" customFormat="false" ht="15" hidden="false" customHeight="false" outlineLevel="0" collapsed="false">
      <c r="A17" s="17" t="s">
        <v>52</v>
      </c>
      <c r="B17" s="20" t="n">
        <f aca="false">B14-B15-B16</f>
        <v>680</v>
      </c>
      <c r="C17" s="20" t="n">
        <f aca="false">C14-C15-C16</f>
        <v>-160</v>
      </c>
    </row>
    <row r="18" customFormat="false" ht="15" hidden="false" customHeight="false" outlineLevel="0" collapsed="false">
      <c r="A18" s="10" t="s">
        <v>83</v>
      </c>
      <c r="C18" s="16" t="n">
        <f aca="false">C17-B17</f>
        <v>-840</v>
      </c>
    </row>
    <row r="20" customFormat="false" ht="15" hidden="false" customHeight="false" outlineLevel="0" collapsed="false">
      <c r="A20" s="2" t="s">
        <v>84</v>
      </c>
    </row>
  </sheetData>
  <conditionalFormatting sqref="E5:E11">
    <cfRule type="cellIs" priority="2" operator="lessThan" aboveAverage="0" equalAverage="0" bottom="0" percent="0" rank="0" text="" dxfId="4">
      <formula>0</formula>
    </cfRule>
  </conditionalFormatting>
  <conditionalFormatting sqref="B17:C18">
    <cfRule type="cellIs" priority="3" operator="lessThan" aboveAverage="0" equalAverage="0" bottom="0" percent="0" rank="0" text="" dxfId="0">
      <formula>0</formula>
    </cfRule>
  </conditionalFormatting>
  <conditionalFormatting sqref="B17:C17">
    <cfRule type="cellIs" priority="4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2026-10-10T01:38:04Z</dcterms:created>
  <dc:creator>openpyxl</dc:creator>
  <dc:description/>
  <dc:language>en-US</dc:language>
  <cp:lastModifiedBy/>
  <dcterms:modified xsi:type="dcterms:W3CDTF">2026-10-10T01:38:04Z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